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braham-my.sharepoint.com/personal/bigginsl_babraham_ac_uk/Documents/Documents/projects/flow_mesf/data/raw_data/"/>
    </mc:Choice>
  </mc:AlternateContent>
  <xr:revisionPtr revIDLastSave="19" documentId="8_{30AADB9B-A16C-4D08-B7BB-859B427E3957}" xr6:coauthVersionLast="47" xr6:coauthVersionMax="47" xr10:uidLastSave="{30284869-23F4-4C0C-85A2-173A14C23DF4}"/>
  <bookViews>
    <workbookView xWindow="-28920" yWindow="1725" windowWidth="29040" windowHeight="15720" xr2:uid="{1CE779AD-65C4-4A75-BE1C-CA92DC222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34" i="1" s="1"/>
  <c r="A35" i="1" s="1"/>
  <c r="A36" i="1" s="1"/>
</calcChain>
</file>

<file path=xl/sharedStrings.xml><?xml version="1.0" encoding="utf-8"?>
<sst xmlns="http://schemas.openxmlformats.org/spreadsheetml/2006/main" count="133" uniqueCount="25">
  <si>
    <t>APC-Cy7</t>
  </si>
  <si>
    <t>APC</t>
  </si>
  <si>
    <t>BUV395</t>
  </si>
  <si>
    <t>BUV737</t>
  </si>
  <si>
    <t>BV421</t>
  </si>
  <si>
    <t>BV650</t>
  </si>
  <si>
    <t>FITC</t>
  </si>
  <si>
    <t>PC7</t>
  </si>
  <si>
    <t>PE</t>
  </si>
  <si>
    <t>PerCP-Cy5.5</t>
  </si>
  <si>
    <t>RY610</t>
  </si>
  <si>
    <t>SB780</t>
  </si>
  <si>
    <t>Unstained</t>
  </si>
  <si>
    <t>bead_no</t>
  </si>
  <si>
    <t>raw_unmixed</t>
  </si>
  <si>
    <t>raw</t>
  </si>
  <si>
    <t>unmixed</t>
  </si>
  <si>
    <t>machine</t>
  </si>
  <si>
    <t>Mosaic</t>
  </si>
  <si>
    <t>Xenith</t>
  </si>
  <si>
    <t>ID7K</t>
  </si>
  <si>
    <t>A8</t>
  </si>
  <si>
    <t>Opteon</t>
  </si>
  <si>
    <t>Aurora</t>
  </si>
  <si>
    <t>.2.20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</si>
</sst>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C023-7416-4E26-996E-72212D49EF95}">
  <dimension ref="A1:AI56"/>
  <sheetViews>
    <sheetView tabSelected="1" workbookViewId="0">
      <selection activeCell="E62" sqref="E62"/>
    </sheetView>
  </sheetViews>
  <sheetFormatPr defaultRowHeight="14.5" x14ac:dyDescent="0.35"/>
  <cols>
    <col min="1" max="1" width="10" customWidth="1"/>
    <col min="2" max="2" width="12.90625" customWidth="1"/>
    <col min="3" max="3" width="10.6328125" customWidth="1"/>
    <col min="13" max="13" width="11.7265625" bestFit="1" customWidth="1"/>
  </cols>
  <sheetData>
    <row r="1" spans="1:35" s="3" customFormat="1" x14ac:dyDescent="0.35">
      <c r="A1" s="3" t="s">
        <v>17</v>
      </c>
      <c r="B1" s="3" t="s">
        <v>14</v>
      </c>
      <c r="C1" s="3" t="s">
        <v>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35" x14ac:dyDescent="0.35">
      <c r="A2" t="s">
        <v>18</v>
      </c>
      <c r="B2" t="s">
        <v>15</v>
      </c>
      <c r="C2" s="2">
        <v>1</v>
      </c>
      <c r="D2" s="2">
        <v>116</v>
      </c>
      <c r="E2" s="2">
        <v>1556</v>
      </c>
      <c r="F2" s="2">
        <v>2505</v>
      </c>
      <c r="G2" s="2">
        <v>1576</v>
      </c>
      <c r="H2" s="2">
        <v>8545</v>
      </c>
      <c r="I2" s="2">
        <v>28737</v>
      </c>
      <c r="J2" s="2">
        <v>359</v>
      </c>
      <c r="K2" s="2">
        <v>1944</v>
      </c>
      <c r="L2" s="2">
        <v>775</v>
      </c>
      <c r="M2" s="2">
        <v>1403</v>
      </c>
      <c r="N2" s="2">
        <v>210</v>
      </c>
      <c r="O2" s="2">
        <v>296</v>
      </c>
    </row>
    <row r="3" spans="1:35" x14ac:dyDescent="0.35">
      <c r="A3" t="s">
        <v>18</v>
      </c>
      <c r="B3" t="s">
        <v>15</v>
      </c>
      <c r="C3" s="2">
        <v>2</v>
      </c>
      <c r="D3" s="2">
        <v>1071</v>
      </c>
      <c r="E3" s="2">
        <v>8725</v>
      </c>
      <c r="F3" s="2">
        <v>11485</v>
      </c>
      <c r="G3" s="2">
        <v>10739</v>
      </c>
      <c r="H3" s="2">
        <v>41106</v>
      </c>
      <c r="I3" s="2">
        <v>44805</v>
      </c>
      <c r="J3" s="2">
        <v>359</v>
      </c>
      <c r="K3" s="2">
        <v>12432</v>
      </c>
      <c r="L3" s="2">
        <v>5241</v>
      </c>
      <c r="M3" s="2">
        <v>1403</v>
      </c>
      <c r="N3" s="2">
        <v>1356</v>
      </c>
      <c r="O3" s="2">
        <v>2273</v>
      </c>
    </row>
    <row r="4" spans="1:35" x14ac:dyDescent="0.35">
      <c r="A4" t="s">
        <v>18</v>
      </c>
      <c r="B4" t="s">
        <v>15</v>
      </c>
      <c r="C4" s="2">
        <v>3</v>
      </c>
      <c r="D4" s="2">
        <v>5802</v>
      </c>
      <c r="E4" s="2">
        <v>48938</v>
      </c>
      <c r="F4" s="2">
        <v>57927</v>
      </c>
      <c r="G4" s="2">
        <v>59606</v>
      </c>
      <c r="H4" s="2">
        <v>211725</v>
      </c>
      <c r="I4" s="2">
        <v>74955</v>
      </c>
      <c r="J4" s="2">
        <v>3793</v>
      </c>
      <c r="K4" s="2">
        <v>78282</v>
      </c>
      <c r="L4" s="2">
        <v>30530</v>
      </c>
      <c r="M4" s="2">
        <v>4537</v>
      </c>
      <c r="N4" s="2">
        <v>7030</v>
      </c>
      <c r="O4" s="2">
        <v>14582</v>
      </c>
    </row>
    <row r="5" spans="1:35" x14ac:dyDescent="0.35">
      <c r="A5" t="s">
        <v>18</v>
      </c>
      <c r="B5" t="s">
        <v>15</v>
      </c>
      <c r="C5" s="2">
        <v>4</v>
      </c>
      <c r="D5" s="2">
        <v>24948</v>
      </c>
      <c r="E5" s="2">
        <v>259619</v>
      </c>
      <c r="F5" s="2">
        <v>222295</v>
      </c>
      <c r="G5" s="2">
        <v>241415</v>
      </c>
      <c r="H5" s="2">
        <v>937000</v>
      </c>
      <c r="I5" s="2">
        <v>184637</v>
      </c>
      <c r="J5" s="2">
        <v>15121</v>
      </c>
      <c r="K5" s="2">
        <v>457000</v>
      </c>
      <c r="L5" s="2">
        <v>119826</v>
      </c>
      <c r="M5" s="2">
        <v>17197</v>
      </c>
      <c r="N5" s="2">
        <v>28262</v>
      </c>
      <c r="O5" s="2">
        <v>52924</v>
      </c>
    </row>
    <row r="6" spans="1:35" x14ac:dyDescent="0.35">
      <c r="A6" t="s">
        <v>18</v>
      </c>
      <c r="B6" t="s">
        <v>15</v>
      </c>
      <c r="C6" s="3" t="s">
        <v>12</v>
      </c>
      <c r="D6" s="2">
        <v>34.4</v>
      </c>
      <c r="E6" s="2">
        <v>342</v>
      </c>
      <c r="F6" s="2">
        <v>224</v>
      </c>
      <c r="G6" s="2">
        <v>33.5</v>
      </c>
      <c r="H6" s="2">
        <v>485</v>
      </c>
      <c r="I6" s="2">
        <v>-1375</v>
      </c>
      <c r="J6" s="2">
        <v>602</v>
      </c>
      <c r="K6" s="2">
        <v>10.199999999999999</v>
      </c>
      <c r="L6" s="2">
        <v>244</v>
      </c>
      <c r="M6" s="2">
        <v>54.3</v>
      </c>
      <c r="N6" s="2">
        <v>45.4</v>
      </c>
      <c r="O6" s="2">
        <v>30.8</v>
      </c>
    </row>
    <row r="7" spans="1:35" x14ac:dyDescent="0.35">
      <c r="A7" t="s">
        <v>18</v>
      </c>
      <c r="B7" t="s">
        <v>16</v>
      </c>
      <c r="C7" s="2">
        <v>1</v>
      </c>
      <c r="D7" s="2">
        <v>-40.200000000000003</v>
      </c>
      <c r="E7" s="2">
        <v>1279</v>
      </c>
      <c r="F7" s="2">
        <v>2395</v>
      </c>
      <c r="G7" s="2">
        <v>1596</v>
      </c>
      <c r="H7" s="2">
        <v>8834</v>
      </c>
      <c r="I7" s="2">
        <v>57141</v>
      </c>
      <c r="J7" s="2">
        <v>99.1</v>
      </c>
      <c r="K7" s="2">
        <v>2021</v>
      </c>
      <c r="L7" s="2">
        <v>590</v>
      </c>
      <c r="M7" s="2">
        <v>1280</v>
      </c>
      <c r="N7" s="2">
        <v>152</v>
      </c>
      <c r="O7" s="2">
        <v>281</v>
      </c>
    </row>
    <row r="8" spans="1:35" x14ac:dyDescent="0.35">
      <c r="A8" t="s">
        <v>18</v>
      </c>
      <c r="B8" t="s">
        <v>16</v>
      </c>
      <c r="C8" s="2">
        <v>2</v>
      </c>
      <c r="D8" s="2">
        <v>1031</v>
      </c>
      <c r="E8" s="2">
        <v>8630</v>
      </c>
      <c r="F8" s="2">
        <v>11134</v>
      </c>
      <c r="G8" s="2">
        <v>10216</v>
      </c>
      <c r="H8" s="2">
        <v>40893</v>
      </c>
      <c r="I8" s="2">
        <v>57141</v>
      </c>
      <c r="J8" s="2">
        <v>729</v>
      </c>
      <c r="K8" s="2">
        <v>12509</v>
      </c>
      <c r="L8" s="2">
        <v>5022</v>
      </c>
      <c r="M8" s="2">
        <v>1280</v>
      </c>
      <c r="N8" s="2">
        <v>1313</v>
      </c>
      <c r="O8" s="2">
        <v>2267</v>
      </c>
    </row>
    <row r="9" spans="1:35" x14ac:dyDescent="0.35">
      <c r="A9" t="s">
        <v>18</v>
      </c>
      <c r="B9" t="s">
        <v>16</v>
      </c>
      <c r="C9" s="2">
        <v>3</v>
      </c>
      <c r="D9" s="2">
        <v>5633</v>
      </c>
      <c r="E9" s="2">
        <v>48637</v>
      </c>
      <c r="F9" s="2">
        <v>55971</v>
      </c>
      <c r="G9" s="2">
        <v>58447</v>
      </c>
      <c r="H9" s="2">
        <v>214056</v>
      </c>
      <c r="I9" s="2">
        <v>57141</v>
      </c>
      <c r="J9" s="2">
        <v>3701</v>
      </c>
      <c r="K9" s="2">
        <v>77894</v>
      </c>
      <c r="L9" s="2">
        <v>30374</v>
      </c>
      <c r="M9" s="2">
        <v>4575</v>
      </c>
      <c r="N9" s="2">
        <v>4713</v>
      </c>
      <c r="O9" s="2">
        <v>15035</v>
      </c>
    </row>
    <row r="10" spans="1:35" x14ac:dyDescent="0.35">
      <c r="A10" t="s">
        <v>18</v>
      </c>
      <c r="B10" t="s">
        <v>16</v>
      </c>
      <c r="C10" s="2">
        <v>4</v>
      </c>
      <c r="D10" s="2">
        <v>24587</v>
      </c>
      <c r="E10" s="2">
        <v>259035</v>
      </c>
      <c r="F10" s="2">
        <v>220412</v>
      </c>
      <c r="G10" s="2">
        <v>240093</v>
      </c>
      <c r="H10" s="2">
        <v>9230000</v>
      </c>
      <c r="I10" s="2">
        <v>354111</v>
      </c>
      <c r="J10" s="2">
        <v>14735</v>
      </c>
      <c r="K10" s="2">
        <v>457000</v>
      </c>
      <c r="L10" s="2">
        <v>119499</v>
      </c>
      <c r="M10" s="2">
        <v>17118</v>
      </c>
      <c r="N10" s="2">
        <v>30071</v>
      </c>
      <c r="O10" s="2">
        <v>53658</v>
      </c>
    </row>
    <row r="11" spans="1:35" x14ac:dyDescent="0.35">
      <c r="A11" t="s">
        <v>18</v>
      </c>
      <c r="B11" t="s">
        <v>16</v>
      </c>
      <c r="C11" s="3" t="s">
        <v>12</v>
      </c>
      <c r="D11" s="2">
        <v>-144</v>
      </c>
      <c r="E11" s="2">
        <v>25.5</v>
      </c>
      <c r="F11" s="2">
        <v>6.37</v>
      </c>
      <c r="G11" s="2">
        <v>2.56</v>
      </c>
      <c r="H11" s="2">
        <v>1.9</v>
      </c>
      <c r="I11" s="2">
        <v>-22.2</v>
      </c>
      <c r="J11" s="2">
        <v>-7.79</v>
      </c>
      <c r="K11" s="2">
        <v>32.9</v>
      </c>
      <c r="L11" s="2">
        <v>13.2</v>
      </c>
      <c r="M11" s="2">
        <v>2.48</v>
      </c>
      <c r="N11" s="2">
        <v>1.73</v>
      </c>
      <c r="O11" s="2">
        <v>14.8</v>
      </c>
      <c r="AI11" s="4"/>
    </row>
    <row r="12" spans="1:35" x14ac:dyDescent="0.35">
      <c r="A12" t="s">
        <v>19</v>
      </c>
      <c r="B12" t="s">
        <v>15</v>
      </c>
      <c r="C12" s="2">
        <v>1</v>
      </c>
      <c r="D12" s="2">
        <v>10.4</v>
      </c>
      <c r="E12" s="2">
        <v>27.5</v>
      </c>
      <c r="F12" s="2">
        <v>22.5</v>
      </c>
      <c r="G12" s="2">
        <v>33.4</v>
      </c>
      <c r="H12" s="2">
        <v>97.2</v>
      </c>
      <c r="I12" s="2">
        <v>235</v>
      </c>
      <c r="J12" s="2">
        <v>5.07</v>
      </c>
      <c r="K12" s="2">
        <v>8.6999999999999993</v>
      </c>
      <c r="L12" s="2">
        <v>3.43</v>
      </c>
      <c r="M12" s="2">
        <v>4.9000000000000004</v>
      </c>
      <c r="N12" s="2">
        <v>3.57</v>
      </c>
      <c r="O12" s="2">
        <v>9.6999999999999993</v>
      </c>
    </row>
    <row r="13" spans="1:35" x14ac:dyDescent="0.35">
      <c r="A13" t="s">
        <v>19</v>
      </c>
      <c r="B13" t="s">
        <v>15</v>
      </c>
      <c r="C13" s="2">
        <v>2</v>
      </c>
      <c r="D13" s="2">
        <v>10.4</v>
      </c>
      <c r="E13" s="2">
        <v>87.8</v>
      </c>
      <c r="F13" s="2">
        <v>93.1</v>
      </c>
      <c r="G13" s="2">
        <v>193</v>
      </c>
      <c r="H13" s="2">
        <v>425</v>
      </c>
      <c r="I13" s="2">
        <v>235</v>
      </c>
      <c r="J13" s="2">
        <v>5.07</v>
      </c>
      <c r="K13" s="2">
        <v>68.900000000000006</v>
      </c>
      <c r="L13" s="2">
        <v>42.5</v>
      </c>
      <c r="M13" s="2">
        <v>4.9000000000000004</v>
      </c>
      <c r="N13" s="2">
        <v>3.57</v>
      </c>
      <c r="O13" s="2">
        <v>9.6999999999999993</v>
      </c>
    </row>
    <row r="14" spans="1:35" x14ac:dyDescent="0.35">
      <c r="A14" t="s">
        <v>19</v>
      </c>
      <c r="B14" t="s">
        <v>15</v>
      </c>
      <c r="C14" s="2">
        <v>3</v>
      </c>
      <c r="D14" s="2">
        <v>55.9</v>
      </c>
      <c r="E14" s="2">
        <v>398</v>
      </c>
      <c r="F14" s="2">
        <v>422</v>
      </c>
      <c r="G14" s="2">
        <v>1089</v>
      </c>
      <c r="H14" s="2">
        <v>2158</v>
      </c>
      <c r="I14" s="2">
        <v>235</v>
      </c>
      <c r="J14" s="2">
        <v>53.5</v>
      </c>
      <c r="K14" s="2">
        <v>376</v>
      </c>
      <c r="L14" s="2">
        <v>243</v>
      </c>
      <c r="M14" s="2">
        <v>25.6</v>
      </c>
      <c r="N14" s="2">
        <v>43.7</v>
      </c>
      <c r="O14" s="2">
        <v>138</v>
      </c>
    </row>
    <row r="15" spans="1:35" x14ac:dyDescent="0.35">
      <c r="A15" t="s">
        <v>19</v>
      </c>
      <c r="B15" t="s">
        <v>15</v>
      </c>
      <c r="C15" s="2">
        <v>4</v>
      </c>
      <c r="D15" s="2">
        <v>200</v>
      </c>
      <c r="E15" s="2">
        <v>2091</v>
      </c>
      <c r="F15" s="2">
        <v>1660</v>
      </c>
      <c r="G15" s="2">
        <v>4587</v>
      </c>
      <c r="H15" s="2">
        <v>5952</v>
      </c>
      <c r="I15" s="2">
        <v>762</v>
      </c>
      <c r="J15" s="2">
        <v>187</v>
      </c>
      <c r="K15" s="2">
        <v>2210</v>
      </c>
      <c r="L15" s="2">
        <v>962</v>
      </c>
      <c r="M15" s="2">
        <v>91.4</v>
      </c>
      <c r="N15" s="2">
        <v>168</v>
      </c>
      <c r="O15" s="2">
        <v>504</v>
      </c>
    </row>
    <row r="16" spans="1:35" x14ac:dyDescent="0.35">
      <c r="A16" t="s">
        <v>19</v>
      </c>
      <c r="B16" t="s">
        <v>15</v>
      </c>
      <c r="C16" s="3" t="s">
        <v>12</v>
      </c>
      <c r="D16">
        <v>10.3</v>
      </c>
      <c r="E16" s="2">
        <v>16.899999999999999</v>
      </c>
      <c r="F16" s="2">
        <v>3.63</v>
      </c>
      <c r="G16" s="2">
        <v>6.33</v>
      </c>
      <c r="H16" s="2">
        <v>4.4400000000000004</v>
      </c>
      <c r="I16" s="2">
        <v>2.15</v>
      </c>
      <c r="J16" s="2">
        <v>4.13</v>
      </c>
      <c r="K16" s="2">
        <v>3.9</v>
      </c>
      <c r="L16" s="2">
        <v>1.91</v>
      </c>
      <c r="M16" s="2">
        <v>2.44</v>
      </c>
      <c r="N16" s="2">
        <v>2.33</v>
      </c>
      <c r="O16" s="2">
        <v>5.1100000000000003</v>
      </c>
    </row>
    <row r="17" spans="1:15" x14ac:dyDescent="0.35">
      <c r="A17" t="s">
        <v>19</v>
      </c>
      <c r="B17" t="s">
        <v>16</v>
      </c>
      <c r="C17" s="2">
        <v>1</v>
      </c>
      <c r="D17" s="2">
        <v>8.44</v>
      </c>
      <c r="E17" s="2">
        <v>27.5</v>
      </c>
      <c r="F17" s="2">
        <v>179</v>
      </c>
      <c r="G17" s="2">
        <v>29.3</v>
      </c>
      <c r="H17" s="2">
        <v>105</v>
      </c>
      <c r="I17" s="2">
        <v>497</v>
      </c>
      <c r="J17" s="2">
        <v>6.98</v>
      </c>
      <c r="K17" s="2">
        <v>8.6999999999999993</v>
      </c>
      <c r="L17" s="2">
        <v>7.95</v>
      </c>
      <c r="M17" s="2">
        <v>9.64</v>
      </c>
      <c r="N17" s="2">
        <v>-0.32</v>
      </c>
      <c r="O17" s="2">
        <v>10.8</v>
      </c>
    </row>
    <row r="18" spans="1:15" x14ac:dyDescent="0.35">
      <c r="A18" t="s">
        <v>19</v>
      </c>
      <c r="B18" t="s">
        <v>16</v>
      </c>
      <c r="C18" s="2">
        <v>2</v>
      </c>
      <c r="D18" s="2">
        <v>8.44</v>
      </c>
      <c r="E18" s="2">
        <v>93</v>
      </c>
      <c r="F18" s="2">
        <v>380</v>
      </c>
      <c r="G18" s="2">
        <v>195</v>
      </c>
      <c r="H18" s="2">
        <v>475</v>
      </c>
      <c r="I18" s="2">
        <v>497</v>
      </c>
      <c r="J18" s="2">
        <v>6.98</v>
      </c>
      <c r="K18" s="2">
        <v>92.1</v>
      </c>
      <c r="L18" s="2">
        <v>65.2</v>
      </c>
      <c r="M18" s="2">
        <v>9.64</v>
      </c>
      <c r="N18" s="2">
        <v>10.9</v>
      </c>
      <c r="O18" s="2">
        <v>45.3</v>
      </c>
    </row>
    <row r="19" spans="1:15" x14ac:dyDescent="0.35">
      <c r="A19" t="s">
        <v>19</v>
      </c>
      <c r="B19" t="s">
        <v>16</v>
      </c>
      <c r="C19" s="2">
        <v>3</v>
      </c>
      <c r="D19" s="2">
        <v>56.9</v>
      </c>
      <c r="E19" s="2">
        <v>450</v>
      </c>
      <c r="F19" s="2">
        <v>1411</v>
      </c>
      <c r="G19" s="2">
        <v>1138</v>
      </c>
      <c r="H19" s="2">
        <v>2431</v>
      </c>
      <c r="I19" s="2">
        <v>497</v>
      </c>
      <c r="J19" s="2">
        <v>57.7</v>
      </c>
      <c r="K19" s="2">
        <v>567</v>
      </c>
      <c r="L19" s="2">
        <v>369</v>
      </c>
      <c r="M19" s="2">
        <v>38.700000000000003</v>
      </c>
      <c r="N19" s="2">
        <v>89.1</v>
      </c>
      <c r="O19" s="2">
        <v>160</v>
      </c>
    </row>
    <row r="20" spans="1:15" x14ac:dyDescent="0.35">
      <c r="A20" t="s">
        <v>19</v>
      </c>
      <c r="B20" t="s">
        <v>16</v>
      </c>
      <c r="C20" s="2">
        <v>4</v>
      </c>
      <c r="D20" s="2">
        <v>230</v>
      </c>
      <c r="E20" s="2">
        <v>2385</v>
      </c>
      <c r="F20" s="2">
        <v>5038</v>
      </c>
      <c r="G20" s="2">
        <v>4793</v>
      </c>
      <c r="H20" s="2">
        <v>10298</v>
      </c>
      <c r="I20" s="2">
        <v>1329</v>
      </c>
      <c r="J20" s="2">
        <v>206</v>
      </c>
      <c r="K20" s="2">
        <v>3439</v>
      </c>
      <c r="L20" s="2">
        <v>1432</v>
      </c>
      <c r="M20" s="2">
        <v>167</v>
      </c>
      <c r="N20" s="2">
        <v>354</v>
      </c>
      <c r="O20" s="2">
        <v>556</v>
      </c>
    </row>
    <row r="21" spans="1:15" x14ac:dyDescent="0.35">
      <c r="A21" t="s">
        <v>19</v>
      </c>
      <c r="B21" t="s">
        <v>16</v>
      </c>
      <c r="C21" s="3" t="s">
        <v>12</v>
      </c>
      <c r="D21" s="2">
        <v>7.26</v>
      </c>
      <c r="E21" s="2">
        <v>15.6</v>
      </c>
      <c r="F21" s="2">
        <v>105</v>
      </c>
      <c r="G21" s="2">
        <v>1.07</v>
      </c>
      <c r="H21" s="2">
        <v>-3.35</v>
      </c>
      <c r="I21" s="2">
        <v>3.4</v>
      </c>
      <c r="J21" s="2">
        <v>5.17</v>
      </c>
      <c r="K21" s="2">
        <v>0.87</v>
      </c>
      <c r="L21" s="2">
        <v>5.28</v>
      </c>
      <c r="M21" s="2">
        <v>5.97</v>
      </c>
      <c r="N21" s="2">
        <v>-1.1299999999999999</v>
      </c>
      <c r="O21" s="2">
        <v>8.06</v>
      </c>
    </row>
    <row r="22" spans="1:15" x14ac:dyDescent="0.35">
      <c r="A22" t="s">
        <v>20</v>
      </c>
      <c r="B22" t="s">
        <v>15</v>
      </c>
      <c r="C22" s="2">
        <v>1</v>
      </c>
      <c r="D22" s="2">
        <v>12</v>
      </c>
      <c r="E22" s="2">
        <v>123</v>
      </c>
      <c r="F22" s="2">
        <v>780</v>
      </c>
      <c r="G22" s="2">
        <v>71.900000000000006</v>
      </c>
      <c r="H22" s="2">
        <v>2900</v>
      </c>
      <c r="I22" s="2">
        <v>9936</v>
      </c>
      <c r="J22" s="2">
        <v>90.9</v>
      </c>
      <c r="K22" s="2">
        <v>210</v>
      </c>
      <c r="L22" s="2">
        <v>234</v>
      </c>
      <c r="M22" s="2">
        <v>81</v>
      </c>
      <c r="N22" s="2">
        <v>78.8</v>
      </c>
      <c r="O22" s="2">
        <v>124</v>
      </c>
    </row>
    <row r="23" spans="1:15" x14ac:dyDescent="0.35">
      <c r="A23" t="s">
        <v>20</v>
      </c>
      <c r="B23" t="s">
        <v>15</v>
      </c>
      <c r="C23" s="2">
        <v>2</v>
      </c>
      <c r="D23" s="2">
        <v>12</v>
      </c>
      <c r="E23" s="2">
        <v>857</v>
      </c>
      <c r="F23" s="2">
        <v>3290</v>
      </c>
      <c r="G23" s="2">
        <v>508</v>
      </c>
      <c r="H23" s="2">
        <v>12451</v>
      </c>
      <c r="I23" s="2">
        <v>9936</v>
      </c>
      <c r="J23" s="2">
        <v>90.9</v>
      </c>
      <c r="K23" s="2">
        <v>1413</v>
      </c>
      <c r="L23" s="2">
        <v>2283</v>
      </c>
      <c r="M23" s="2">
        <v>81</v>
      </c>
      <c r="N23" s="2">
        <v>532</v>
      </c>
      <c r="O23" s="2">
        <v>124</v>
      </c>
    </row>
    <row r="24" spans="1:15" x14ac:dyDescent="0.35">
      <c r="A24" t="s">
        <v>20</v>
      </c>
      <c r="B24" t="s">
        <v>15</v>
      </c>
      <c r="C24" s="2">
        <v>3</v>
      </c>
      <c r="D24" s="2">
        <v>263</v>
      </c>
      <c r="E24" s="2">
        <v>4772</v>
      </c>
      <c r="F24" s="2">
        <v>17210</v>
      </c>
      <c r="G24" s="2">
        <v>2716</v>
      </c>
      <c r="H24" s="2">
        <v>64657</v>
      </c>
      <c r="I24" s="2">
        <v>9936</v>
      </c>
      <c r="J24" s="2">
        <v>1111</v>
      </c>
      <c r="K24" s="2">
        <v>8121</v>
      </c>
      <c r="L24" s="2">
        <v>13379</v>
      </c>
      <c r="M24" s="2">
        <v>320</v>
      </c>
      <c r="N24" s="2">
        <v>2987</v>
      </c>
      <c r="O24" s="2">
        <v>2284</v>
      </c>
    </row>
    <row r="25" spans="1:15" x14ac:dyDescent="0.35">
      <c r="A25" t="s">
        <v>20</v>
      </c>
      <c r="B25" t="s">
        <v>15</v>
      </c>
      <c r="C25" s="2">
        <v>4</v>
      </c>
      <c r="D25" s="2">
        <v>1148</v>
      </c>
      <c r="E25" s="2">
        <v>26342</v>
      </c>
      <c r="F25" s="2">
        <v>64932</v>
      </c>
      <c r="G25" s="2">
        <v>11728</v>
      </c>
      <c r="H25" s="2">
        <v>275420</v>
      </c>
      <c r="I25" s="2">
        <v>38446</v>
      </c>
      <c r="J25" s="2">
        <v>4344</v>
      </c>
      <c r="K25" s="2">
        <v>47768</v>
      </c>
      <c r="L25" s="2">
        <v>53018</v>
      </c>
      <c r="M25" s="2">
        <v>1203</v>
      </c>
      <c r="N25" s="2">
        <v>11877</v>
      </c>
      <c r="O25" s="2">
        <v>8739</v>
      </c>
    </row>
    <row r="26" spans="1:15" x14ac:dyDescent="0.35">
      <c r="A26" t="s">
        <v>20</v>
      </c>
      <c r="B26" t="s">
        <v>15</v>
      </c>
      <c r="C26" s="3" t="s">
        <v>12</v>
      </c>
      <c r="D26">
        <v>1.33</v>
      </c>
      <c r="E26" s="2">
        <v>0.61</v>
      </c>
      <c r="F26" s="2">
        <v>102</v>
      </c>
      <c r="G26" s="2">
        <v>5.27</v>
      </c>
      <c r="H26" s="2">
        <v>181</v>
      </c>
      <c r="I26" s="2">
        <v>20.100000000000001</v>
      </c>
      <c r="J26" s="2">
        <v>21.2</v>
      </c>
      <c r="K26" s="2">
        <v>0.4</v>
      </c>
      <c r="L26" s="2">
        <v>1.3</v>
      </c>
      <c r="M26" s="2">
        <v>2.06</v>
      </c>
      <c r="N26" s="2">
        <v>6.93</v>
      </c>
      <c r="O26" s="2">
        <v>11.2</v>
      </c>
    </row>
    <row r="27" spans="1:15" x14ac:dyDescent="0.35">
      <c r="A27" t="s">
        <v>20</v>
      </c>
      <c r="B27" t="s">
        <v>16</v>
      </c>
      <c r="C27" s="2">
        <v>1</v>
      </c>
      <c r="D27" s="2">
        <v>15.1</v>
      </c>
      <c r="E27" s="2">
        <v>123</v>
      </c>
      <c r="F27" s="2">
        <v>796</v>
      </c>
      <c r="G27" s="2">
        <v>75.8</v>
      </c>
      <c r="H27" s="2">
        <v>2777</v>
      </c>
      <c r="I27" s="2">
        <v>10551</v>
      </c>
      <c r="J27" s="2">
        <v>85.1</v>
      </c>
      <c r="K27" s="2">
        <v>194</v>
      </c>
      <c r="L27" s="2">
        <v>229</v>
      </c>
      <c r="M27" s="2">
        <v>109</v>
      </c>
      <c r="N27" s="2">
        <v>80.599999999999994</v>
      </c>
      <c r="O27" s="2">
        <v>130</v>
      </c>
    </row>
    <row r="28" spans="1:15" x14ac:dyDescent="0.35">
      <c r="A28" t="s">
        <v>20</v>
      </c>
      <c r="B28" t="s">
        <v>16</v>
      </c>
      <c r="C28" s="2">
        <v>2</v>
      </c>
      <c r="D28" s="2">
        <v>15.1</v>
      </c>
      <c r="E28" s="2">
        <v>852</v>
      </c>
      <c r="F28" s="2">
        <v>3239</v>
      </c>
      <c r="G28" s="2">
        <v>490</v>
      </c>
      <c r="H28" s="2">
        <v>12689</v>
      </c>
      <c r="I28" s="2">
        <v>10551</v>
      </c>
      <c r="J28" s="2">
        <v>85.1</v>
      </c>
      <c r="K28" s="2">
        <v>1306</v>
      </c>
      <c r="L28" s="2">
        <v>2316</v>
      </c>
      <c r="M28" s="2">
        <v>109</v>
      </c>
      <c r="N28" s="2">
        <v>517</v>
      </c>
      <c r="O28" s="2">
        <v>130</v>
      </c>
    </row>
    <row r="29" spans="1:15" x14ac:dyDescent="0.35">
      <c r="A29" t="s">
        <v>20</v>
      </c>
      <c r="B29" t="s">
        <v>16</v>
      </c>
      <c r="C29" s="2">
        <v>3</v>
      </c>
      <c r="D29" s="2">
        <v>261</v>
      </c>
      <c r="E29" s="2">
        <v>4812</v>
      </c>
      <c r="F29" s="2">
        <v>17130</v>
      </c>
      <c r="G29" s="2">
        <v>2849</v>
      </c>
      <c r="H29" s="2">
        <v>64722</v>
      </c>
      <c r="I29" s="2">
        <v>10551</v>
      </c>
      <c r="J29" s="2">
        <v>1074</v>
      </c>
      <c r="K29" s="2">
        <v>8147</v>
      </c>
      <c r="L29" s="2">
        <v>14039</v>
      </c>
      <c r="M29" s="2">
        <v>530</v>
      </c>
      <c r="N29" s="2">
        <v>2962</v>
      </c>
      <c r="O29" s="2">
        <v>2595</v>
      </c>
    </row>
    <row r="30" spans="1:15" x14ac:dyDescent="0.35">
      <c r="A30" t="s">
        <v>20</v>
      </c>
      <c r="B30" t="s">
        <v>16</v>
      </c>
      <c r="C30" s="2">
        <v>4</v>
      </c>
      <c r="D30" s="2">
        <v>1170</v>
      </c>
      <c r="E30" s="2">
        <v>26356</v>
      </c>
      <c r="F30" s="2">
        <v>64904</v>
      </c>
      <c r="G30" s="2">
        <v>12039</v>
      </c>
      <c r="H30" s="2">
        <v>273908</v>
      </c>
      <c r="I30" s="2">
        <v>48446</v>
      </c>
      <c r="J30" s="2">
        <v>4293</v>
      </c>
      <c r="K30" s="2">
        <v>47714</v>
      </c>
      <c r="L30" s="2">
        <v>54792</v>
      </c>
      <c r="M30" s="2">
        <v>2068</v>
      </c>
      <c r="N30" s="2">
        <v>12006</v>
      </c>
      <c r="O30" s="2">
        <v>9918</v>
      </c>
    </row>
    <row r="31" spans="1:15" x14ac:dyDescent="0.35">
      <c r="A31" t="s">
        <v>20</v>
      </c>
      <c r="B31" t="s">
        <v>16</v>
      </c>
      <c r="C31" s="3" t="s">
        <v>12</v>
      </c>
      <c r="D31">
        <v>-0.57999999999999996</v>
      </c>
      <c r="E31" s="2" t="s">
        <v>24</v>
      </c>
      <c r="F31" s="2">
        <v>22</v>
      </c>
      <c r="G31" s="2">
        <v>-0.99</v>
      </c>
      <c r="H31" s="2">
        <v>40.5</v>
      </c>
      <c r="I31" s="2">
        <v>0.86</v>
      </c>
      <c r="J31" s="2">
        <v>-0.14000000000000001</v>
      </c>
      <c r="K31" s="2">
        <v>-0.39</v>
      </c>
      <c r="L31" s="2">
        <v>-3.77</v>
      </c>
      <c r="M31" s="2">
        <v>-5.35</v>
      </c>
      <c r="N31" s="2">
        <v>-1.47</v>
      </c>
      <c r="O31" s="2">
        <v>-3.34</v>
      </c>
    </row>
    <row r="32" spans="1:15" x14ac:dyDescent="0.35">
      <c r="A32" t="s">
        <v>21</v>
      </c>
      <c r="B32" t="s">
        <v>15</v>
      </c>
      <c r="C32" s="2">
        <v>1</v>
      </c>
      <c r="D32" s="2">
        <v>128</v>
      </c>
      <c r="E32" s="2">
        <v>2300</v>
      </c>
      <c r="F32" s="2">
        <v>8094</v>
      </c>
      <c r="G32" s="2">
        <v>1096</v>
      </c>
      <c r="H32" s="2">
        <v>7403</v>
      </c>
      <c r="I32" s="2">
        <v>24353</v>
      </c>
      <c r="J32" s="2">
        <v>396</v>
      </c>
      <c r="K32" s="2">
        <v>1877</v>
      </c>
      <c r="L32" s="2">
        <v>1716</v>
      </c>
      <c r="M32" s="2">
        <v>729</v>
      </c>
      <c r="N32" s="2">
        <v>200</v>
      </c>
      <c r="O32" s="2">
        <v>158</v>
      </c>
    </row>
    <row r="33" spans="1:15" x14ac:dyDescent="0.35">
      <c r="A33" t="str">
        <f>A32</f>
        <v>A8</v>
      </c>
      <c r="B33" t="s">
        <v>15</v>
      </c>
      <c r="C33" s="2">
        <v>2</v>
      </c>
      <c r="D33" s="2">
        <v>1612</v>
      </c>
      <c r="E33" s="2">
        <v>14947</v>
      </c>
      <c r="F33" s="2">
        <v>32836</v>
      </c>
      <c r="G33" s="2">
        <v>6897</v>
      </c>
      <c r="H33" s="2">
        <v>32998</v>
      </c>
      <c r="I33" s="2">
        <v>24353</v>
      </c>
      <c r="J33" s="2">
        <v>396</v>
      </c>
      <c r="K33" s="2">
        <v>12138</v>
      </c>
      <c r="L33" s="2">
        <v>11623</v>
      </c>
      <c r="M33" s="2">
        <v>729</v>
      </c>
      <c r="N33" s="2">
        <v>2404</v>
      </c>
      <c r="O33" s="2">
        <v>1594</v>
      </c>
    </row>
    <row r="34" spans="1:15" x14ac:dyDescent="0.35">
      <c r="A34" t="str">
        <f t="shared" ref="A34:A36" si="0">A33</f>
        <v>A8</v>
      </c>
      <c r="B34" t="s">
        <v>15</v>
      </c>
      <c r="C34" s="2">
        <v>3</v>
      </c>
      <c r="D34" s="2">
        <v>8981</v>
      </c>
      <c r="E34" s="2">
        <v>82408</v>
      </c>
      <c r="F34" s="2">
        <v>169078</v>
      </c>
      <c r="G34" s="2">
        <v>39711</v>
      </c>
      <c r="H34" s="2">
        <v>168658</v>
      </c>
      <c r="I34" s="2">
        <v>24353</v>
      </c>
      <c r="J34" s="2">
        <v>3708</v>
      </c>
      <c r="K34" s="2">
        <v>75043</v>
      </c>
      <c r="L34" s="2">
        <v>68047</v>
      </c>
      <c r="M34" s="2">
        <v>3982</v>
      </c>
      <c r="N34" s="2">
        <v>14465</v>
      </c>
      <c r="O34" s="2">
        <v>10696</v>
      </c>
    </row>
    <row r="35" spans="1:15" x14ac:dyDescent="0.35">
      <c r="A35" t="str">
        <f t="shared" si="0"/>
        <v>A8</v>
      </c>
      <c r="B35" t="s">
        <v>15</v>
      </c>
      <c r="C35" s="2">
        <v>4</v>
      </c>
      <c r="D35" s="2">
        <v>38901</v>
      </c>
      <c r="E35" s="2">
        <v>477000</v>
      </c>
      <c r="F35" s="2">
        <v>669000</v>
      </c>
      <c r="G35" s="2">
        <v>171134</v>
      </c>
      <c r="H35" s="2">
        <v>736000</v>
      </c>
      <c r="I35" s="2">
        <v>81382</v>
      </c>
      <c r="J35" s="2">
        <v>14101</v>
      </c>
      <c r="K35" s="2">
        <v>445000</v>
      </c>
      <c r="L35" s="2">
        <v>269951</v>
      </c>
      <c r="M35" s="2">
        <v>15733</v>
      </c>
      <c r="N35" s="2">
        <v>58623</v>
      </c>
      <c r="O35" s="2">
        <v>39825</v>
      </c>
    </row>
    <row r="36" spans="1:15" x14ac:dyDescent="0.35">
      <c r="A36" t="str">
        <f t="shared" si="0"/>
        <v>A8</v>
      </c>
      <c r="B36" t="s">
        <v>15</v>
      </c>
      <c r="C36" s="3" t="s">
        <v>12</v>
      </c>
      <c r="D36">
        <v>-26</v>
      </c>
      <c r="E36" s="2">
        <v>213</v>
      </c>
      <c r="F36" s="2">
        <v>1450</v>
      </c>
      <c r="G36" s="2">
        <v>10</v>
      </c>
      <c r="H36" s="2">
        <v>479</v>
      </c>
      <c r="I36" s="2">
        <v>47.7</v>
      </c>
      <c r="J36" s="2">
        <v>162</v>
      </c>
      <c r="K36" s="2">
        <v>2.37</v>
      </c>
      <c r="L36" s="2">
        <v>526</v>
      </c>
      <c r="M36" s="2">
        <v>-48.3</v>
      </c>
      <c r="N36" s="2">
        <v>-213</v>
      </c>
      <c r="O36" s="2">
        <v>96.2</v>
      </c>
    </row>
    <row r="37" spans="1:15" x14ac:dyDescent="0.35">
      <c r="A37" t="s">
        <v>22</v>
      </c>
      <c r="B37" t="s">
        <v>15</v>
      </c>
      <c r="C37" s="2">
        <v>1</v>
      </c>
      <c r="D37" s="2">
        <v>1619</v>
      </c>
      <c r="E37" s="2">
        <v>8790</v>
      </c>
      <c r="F37" s="2">
        <v>15823</v>
      </c>
      <c r="G37" s="2">
        <v>10290</v>
      </c>
      <c r="H37" s="2">
        <v>24473</v>
      </c>
      <c r="I37" s="2">
        <v>185340</v>
      </c>
      <c r="J37" s="2">
        <v>2292</v>
      </c>
      <c r="K37" s="2">
        <v>27922</v>
      </c>
      <c r="L37" s="2">
        <v>5201</v>
      </c>
      <c r="M37" s="2">
        <v>7882</v>
      </c>
      <c r="N37" s="2">
        <v>1710</v>
      </c>
      <c r="O37" s="2">
        <v>3037</v>
      </c>
    </row>
    <row r="38" spans="1:15" x14ac:dyDescent="0.35">
      <c r="A38" t="s">
        <v>22</v>
      </c>
      <c r="B38" t="s">
        <v>15</v>
      </c>
      <c r="C38" s="2">
        <v>2</v>
      </c>
      <c r="D38" s="2">
        <v>12965</v>
      </c>
      <c r="E38" s="2">
        <v>54624</v>
      </c>
      <c r="F38" s="2">
        <v>64329</v>
      </c>
      <c r="G38" s="2">
        <v>67087</v>
      </c>
      <c r="H38" s="2">
        <v>117269</v>
      </c>
      <c r="I38" s="2">
        <v>185340</v>
      </c>
      <c r="J38" s="2">
        <v>7161</v>
      </c>
      <c r="K38" s="2">
        <v>171691</v>
      </c>
      <c r="L38" s="2">
        <v>47229</v>
      </c>
      <c r="M38" s="2">
        <v>7882</v>
      </c>
      <c r="N38" s="2">
        <v>11524</v>
      </c>
      <c r="O38" s="2">
        <v>19684</v>
      </c>
    </row>
    <row r="39" spans="1:15" x14ac:dyDescent="0.35">
      <c r="A39" t="s">
        <v>22</v>
      </c>
      <c r="B39" t="s">
        <v>15</v>
      </c>
      <c r="C39" s="2">
        <v>3</v>
      </c>
      <c r="D39" s="2">
        <v>74688</v>
      </c>
      <c r="E39" s="2">
        <v>297254</v>
      </c>
      <c r="F39" s="2">
        <v>338244</v>
      </c>
      <c r="G39" s="2">
        <v>402000</v>
      </c>
      <c r="H39" s="2">
        <v>625000</v>
      </c>
      <c r="I39" s="2">
        <v>185340</v>
      </c>
      <c r="J39" s="2">
        <v>32562</v>
      </c>
      <c r="K39" s="2">
        <v>1090000</v>
      </c>
      <c r="L39" s="2">
        <v>291164</v>
      </c>
      <c r="M39" s="2">
        <v>27256</v>
      </c>
      <c r="N39" s="2">
        <v>68805</v>
      </c>
      <c r="O39" s="2">
        <v>124177</v>
      </c>
    </row>
    <row r="40" spans="1:15" x14ac:dyDescent="0.35">
      <c r="A40" t="s">
        <v>22</v>
      </c>
      <c r="B40" t="s">
        <v>15</v>
      </c>
      <c r="C40" s="2">
        <v>4</v>
      </c>
      <c r="D40" s="2">
        <v>323549</v>
      </c>
      <c r="E40" s="2">
        <v>171000</v>
      </c>
      <c r="F40" s="2">
        <v>132000</v>
      </c>
      <c r="G40" s="2">
        <v>1680000</v>
      </c>
      <c r="H40" s="2">
        <v>2710000</v>
      </c>
      <c r="I40" s="2">
        <v>617000</v>
      </c>
      <c r="J40" s="2">
        <v>129432</v>
      </c>
      <c r="K40" s="2">
        <v>6530000</v>
      </c>
      <c r="L40" s="2">
        <v>1150000</v>
      </c>
      <c r="M40" s="2">
        <v>99381</v>
      </c>
      <c r="N40" s="2">
        <v>274966</v>
      </c>
      <c r="O40" s="2">
        <v>447000</v>
      </c>
    </row>
    <row r="41" spans="1:15" x14ac:dyDescent="0.35">
      <c r="A41" t="s">
        <v>22</v>
      </c>
      <c r="B41" t="s">
        <v>15</v>
      </c>
      <c r="C41" s="3" t="s">
        <v>12</v>
      </c>
      <c r="D41">
        <v>438</v>
      </c>
      <c r="E41" s="2">
        <v>696</v>
      </c>
      <c r="F41" s="2">
        <v>2055</v>
      </c>
      <c r="G41" s="2">
        <v>188</v>
      </c>
      <c r="H41" s="2">
        <v>-315</v>
      </c>
      <c r="I41" s="2">
        <v>584</v>
      </c>
      <c r="J41" s="2">
        <v>1735</v>
      </c>
      <c r="K41" s="2">
        <v>104</v>
      </c>
      <c r="L41" s="2">
        <v>95.4</v>
      </c>
      <c r="M41" s="2">
        <v>239</v>
      </c>
      <c r="N41" s="2">
        <v>85.7</v>
      </c>
      <c r="O41" s="2">
        <v>384</v>
      </c>
    </row>
    <row r="42" spans="1:15" x14ac:dyDescent="0.35">
      <c r="A42" t="s">
        <v>22</v>
      </c>
      <c r="B42" t="s">
        <v>16</v>
      </c>
      <c r="C42" s="2">
        <v>1</v>
      </c>
      <c r="D42" s="2">
        <v>1474</v>
      </c>
      <c r="E42" s="2">
        <v>8756</v>
      </c>
      <c r="F42" s="2">
        <v>16335</v>
      </c>
      <c r="G42" s="2">
        <v>10823</v>
      </c>
      <c r="H42" s="2">
        <v>25101</v>
      </c>
      <c r="I42" s="2">
        <v>191011</v>
      </c>
      <c r="J42" s="2">
        <v>2282</v>
      </c>
      <c r="K42" s="2">
        <v>27071</v>
      </c>
      <c r="L42" s="2">
        <v>5055</v>
      </c>
      <c r="M42" s="2">
        <v>8709</v>
      </c>
      <c r="N42" s="2">
        <v>1821</v>
      </c>
      <c r="O42" s="2">
        <v>2774</v>
      </c>
    </row>
    <row r="43" spans="1:15" x14ac:dyDescent="0.35">
      <c r="A43" t="s">
        <v>22</v>
      </c>
      <c r="B43" t="s">
        <v>16</v>
      </c>
      <c r="C43" s="2">
        <v>2</v>
      </c>
      <c r="D43" s="2">
        <v>13072</v>
      </c>
      <c r="E43" s="2">
        <v>55073</v>
      </c>
      <c r="F43" s="2">
        <v>63301</v>
      </c>
      <c r="G43" s="2">
        <v>65472</v>
      </c>
      <c r="H43" s="2">
        <v>118812</v>
      </c>
      <c r="I43" s="2">
        <v>191011</v>
      </c>
      <c r="J43" s="2">
        <v>7078</v>
      </c>
      <c r="K43" s="2">
        <v>171636</v>
      </c>
      <c r="L43" s="2">
        <v>48401</v>
      </c>
      <c r="M43" s="2">
        <v>8709</v>
      </c>
      <c r="N43" s="2">
        <v>11784</v>
      </c>
      <c r="O43" s="2">
        <v>19083</v>
      </c>
    </row>
    <row r="44" spans="1:15" x14ac:dyDescent="0.35">
      <c r="A44" t="s">
        <v>22</v>
      </c>
      <c r="B44" t="s">
        <v>16</v>
      </c>
      <c r="C44" s="2">
        <v>3</v>
      </c>
      <c r="D44" s="2">
        <v>76345</v>
      </c>
      <c r="E44" s="2">
        <v>295703</v>
      </c>
      <c r="F44" s="2">
        <v>326377</v>
      </c>
      <c r="G44" s="2">
        <v>397217</v>
      </c>
      <c r="H44" s="2">
        <v>619000</v>
      </c>
      <c r="I44" s="2">
        <v>191011</v>
      </c>
      <c r="J44" s="2">
        <v>33709</v>
      </c>
      <c r="K44" s="2">
        <v>1090000</v>
      </c>
      <c r="L44" s="2">
        <v>295846</v>
      </c>
      <c r="M44" s="2">
        <v>27824</v>
      </c>
      <c r="N44" s="2">
        <v>68278</v>
      </c>
      <c r="O44" s="2">
        <v>123141</v>
      </c>
    </row>
    <row r="45" spans="1:15" x14ac:dyDescent="0.35">
      <c r="A45" t="s">
        <v>22</v>
      </c>
      <c r="B45" t="s">
        <v>16</v>
      </c>
      <c r="C45" s="2">
        <v>4</v>
      </c>
      <c r="D45" s="2">
        <v>328205</v>
      </c>
      <c r="E45" s="2">
        <v>1710000</v>
      </c>
      <c r="F45" s="2">
        <v>1320000</v>
      </c>
      <c r="G45" s="2">
        <v>1660000</v>
      </c>
      <c r="H45" s="2">
        <v>2700000</v>
      </c>
      <c r="I45" s="2">
        <v>619000</v>
      </c>
      <c r="J45" s="2">
        <v>129461</v>
      </c>
      <c r="K45" s="2">
        <v>6580000</v>
      </c>
      <c r="L45" s="2">
        <v>1170000</v>
      </c>
      <c r="M45" s="2">
        <v>100364</v>
      </c>
      <c r="N45" s="2">
        <v>275065</v>
      </c>
      <c r="O45" s="2">
        <v>436000</v>
      </c>
    </row>
    <row r="46" spans="1:15" x14ac:dyDescent="0.35">
      <c r="A46" t="s">
        <v>22</v>
      </c>
      <c r="B46" t="s">
        <v>16</v>
      </c>
      <c r="C46" s="3" t="s">
        <v>12</v>
      </c>
      <c r="D46" s="2">
        <v>416</v>
      </c>
      <c r="E46" s="2">
        <v>697</v>
      </c>
      <c r="F46" s="2">
        <v>2004</v>
      </c>
      <c r="G46" s="2">
        <v>92.5</v>
      </c>
      <c r="H46" s="2">
        <v>-398</v>
      </c>
      <c r="I46" s="2">
        <v>648</v>
      </c>
      <c r="J46" s="2">
        <v>1800</v>
      </c>
      <c r="K46" s="2">
        <v>90.9</v>
      </c>
      <c r="L46" s="2">
        <v>114</v>
      </c>
      <c r="M46" s="2">
        <v>253</v>
      </c>
      <c r="N46" s="2">
        <v>76.2</v>
      </c>
      <c r="O46" s="2">
        <v>379</v>
      </c>
    </row>
    <row r="47" spans="1:15" x14ac:dyDescent="0.35">
      <c r="A47" t="s">
        <v>23</v>
      </c>
      <c r="B47" t="s">
        <v>15</v>
      </c>
      <c r="C47" s="2">
        <v>1</v>
      </c>
      <c r="D47" s="2">
        <v>335</v>
      </c>
      <c r="E47" s="2">
        <v>1589</v>
      </c>
      <c r="F47" s="2">
        <v>2193</v>
      </c>
      <c r="G47" s="2">
        <v>1963</v>
      </c>
      <c r="H47" s="2">
        <v>4220</v>
      </c>
      <c r="I47" s="2">
        <v>46047</v>
      </c>
      <c r="J47" s="2">
        <v>418</v>
      </c>
      <c r="K47" s="2">
        <v>2589</v>
      </c>
      <c r="L47" s="2">
        <v>2596</v>
      </c>
      <c r="M47" s="2">
        <v>1169</v>
      </c>
      <c r="N47" s="2">
        <v>675</v>
      </c>
      <c r="O47" s="2">
        <v>737</v>
      </c>
    </row>
    <row r="48" spans="1:15" x14ac:dyDescent="0.35">
      <c r="A48" t="s">
        <v>23</v>
      </c>
      <c r="B48" t="s">
        <v>15</v>
      </c>
      <c r="C48" s="2">
        <v>2</v>
      </c>
      <c r="D48" s="2">
        <v>2040</v>
      </c>
      <c r="E48" s="2">
        <v>7765</v>
      </c>
      <c r="F48" s="2">
        <v>9204</v>
      </c>
      <c r="G48" s="2">
        <v>12454</v>
      </c>
      <c r="H48" s="2">
        <v>17618</v>
      </c>
      <c r="I48" s="2">
        <v>46047</v>
      </c>
      <c r="J48" s="2">
        <v>1422</v>
      </c>
      <c r="K48" s="2">
        <v>17382</v>
      </c>
      <c r="L48" s="2">
        <v>10313</v>
      </c>
      <c r="M48" s="2">
        <v>1169</v>
      </c>
      <c r="N48" s="2">
        <v>2384</v>
      </c>
      <c r="O48" s="2">
        <v>5259</v>
      </c>
    </row>
    <row r="49" spans="1:15" x14ac:dyDescent="0.35">
      <c r="A49" t="s">
        <v>23</v>
      </c>
      <c r="B49" t="s">
        <v>15</v>
      </c>
      <c r="C49" s="2">
        <v>3</v>
      </c>
      <c r="D49" s="2">
        <v>10653</v>
      </c>
      <c r="E49" s="2">
        <v>40794</v>
      </c>
      <c r="F49" s="2">
        <v>46781</v>
      </c>
      <c r="G49" s="2">
        <v>70040</v>
      </c>
      <c r="H49" s="2">
        <v>88674</v>
      </c>
      <c r="I49" s="2">
        <v>46047</v>
      </c>
      <c r="J49" s="2">
        <v>6260</v>
      </c>
      <c r="K49" s="2">
        <v>104817</v>
      </c>
      <c r="L49" s="2">
        <v>54759</v>
      </c>
      <c r="M49" s="2">
        <v>4378</v>
      </c>
      <c r="N49" s="2">
        <v>11996</v>
      </c>
      <c r="O49" s="2">
        <v>35389</v>
      </c>
    </row>
    <row r="50" spans="1:15" x14ac:dyDescent="0.35">
      <c r="A50" t="s">
        <v>23</v>
      </c>
      <c r="B50" t="s">
        <v>15</v>
      </c>
      <c r="C50" s="2">
        <v>4</v>
      </c>
      <c r="D50" s="2">
        <v>46237</v>
      </c>
      <c r="E50" s="2">
        <v>217090</v>
      </c>
      <c r="F50" s="2">
        <v>182677</v>
      </c>
      <c r="G50" s="2">
        <v>286961</v>
      </c>
      <c r="H50" s="2">
        <v>372354</v>
      </c>
      <c r="I50" s="2">
        <v>154702</v>
      </c>
      <c r="J50" s="2">
        <v>24408</v>
      </c>
      <c r="K50" s="2">
        <v>611000</v>
      </c>
      <c r="L50" s="2">
        <v>211787</v>
      </c>
      <c r="M50" s="2">
        <v>16419</v>
      </c>
      <c r="N50" s="2">
        <v>46431</v>
      </c>
      <c r="O50" s="2">
        <v>129303</v>
      </c>
    </row>
    <row r="51" spans="1:15" x14ac:dyDescent="0.35">
      <c r="A51" t="s">
        <v>23</v>
      </c>
      <c r="B51" t="s">
        <v>15</v>
      </c>
      <c r="C51" s="3" t="s">
        <v>12</v>
      </c>
      <c r="D51">
        <v>158</v>
      </c>
      <c r="E51" s="2">
        <v>527</v>
      </c>
      <c r="F51" s="2">
        <v>267</v>
      </c>
      <c r="G51" s="2">
        <v>59.7</v>
      </c>
      <c r="H51" s="2">
        <v>532</v>
      </c>
      <c r="I51" s="2">
        <v>354</v>
      </c>
      <c r="J51" s="2">
        <v>282</v>
      </c>
      <c r="K51" s="2">
        <v>90.4</v>
      </c>
      <c r="L51" s="2">
        <v>1636</v>
      </c>
      <c r="M51" s="2">
        <v>137</v>
      </c>
      <c r="N51" s="2">
        <v>381</v>
      </c>
      <c r="O51" s="2">
        <v>131</v>
      </c>
    </row>
    <row r="52" spans="1:15" x14ac:dyDescent="0.35">
      <c r="A52" t="s">
        <v>23</v>
      </c>
      <c r="B52" t="s">
        <v>16</v>
      </c>
      <c r="C52" s="2">
        <v>1</v>
      </c>
      <c r="D52" s="2">
        <v>186</v>
      </c>
      <c r="E52" s="2">
        <v>110</v>
      </c>
      <c r="F52" s="2">
        <v>2042</v>
      </c>
      <c r="G52" s="2">
        <v>1890</v>
      </c>
      <c r="H52" s="2">
        <v>3471</v>
      </c>
      <c r="I52" s="2">
        <v>49954</v>
      </c>
      <c r="J52" s="2">
        <v>122</v>
      </c>
      <c r="K52" s="2">
        <v>2599</v>
      </c>
      <c r="L52" s="2">
        <v>966</v>
      </c>
      <c r="M52" s="2">
        <v>1102</v>
      </c>
      <c r="N52" s="2">
        <v>347</v>
      </c>
      <c r="O52" s="2">
        <v>586</v>
      </c>
    </row>
    <row r="53" spans="1:15" x14ac:dyDescent="0.35">
      <c r="A53" t="s">
        <v>23</v>
      </c>
      <c r="B53" t="s">
        <v>16</v>
      </c>
      <c r="C53" s="2">
        <v>2</v>
      </c>
      <c r="D53" s="2">
        <v>1885</v>
      </c>
      <c r="E53" s="2">
        <v>7322</v>
      </c>
      <c r="F53" s="2">
        <v>9285</v>
      </c>
      <c r="G53" s="2">
        <v>12484</v>
      </c>
      <c r="H53" s="2">
        <v>16959</v>
      </c>
      <c r="I53" s="2">
        <v>49954</v>
      </c>
      <c r="J53" s="2">
        <v>1086</v>
      </c>
      <c r="K53" s="2">
        <v>17343</v>
      </c>
      <c r="L53" s="2">
        <v>8930</v>
      </c>
      <c r="M53" s="2">
        <v>1102</v>
      </c>
      <c r="N53" s="2">
        <v>2058</v>
      </c>
      <c r="O53" s="2">
        <v>5088</v>
      </c>
    </row>
    <row r="54" spans="1:15" x14ac:dyDescent="0.35">
      <c r="A54" t="s">
        <v>23</v>
      </c>
      <c r="B54" t="s">
        <v>16</v>
      </c>
      <c r="C54" s="2">
        <v>3</v>
      </c>
      <c r="D54" s="2">
        <v>10793</v>
      </c>
      <c r="E54" s="2">
        <v>42164</v>
      </c>
      <c r="F54" s="2">
        <v>47235</v>
      </c>
      <c r="G54" s="2">
        <v>71485</v>
      </c>
      <c r="H54" s="2">
        <v>89101</v>
      </c>
      <c r="I54" s="2">
        <v>49954</v>
      </c>
      <c r="J54" s="2">
        <v>6024</v>
      </c>
      <c r="K54" s="2">
        <v>106385</v>
      </c>
      <c r="L54" s="2">
        <v>55073</v>
      </c>
      <c r="M54" s="2">
        <v>4429</v>
      </c>
      <c r="N54" s="2">
        <v>11911</v>
      </c>
      <c r="O54" s="2">
        <v>35458</v>
      </c>
    </row>
    <row r="55" spans="1:15" x14ac:dyDescent="0.35">
      <c r="A55" t="s">
        <v>23</v>
      </c>
      <c r="B55" t="s">
        <v>16</v>
      </c>
      <c r="C55" s="2">
        <v>4</v>
      </c>
      <c r="D55" s="2">
        <v>46190</v>
      </c>
      <c r="E55" s="2">
        <v>220988</v>
      </c>
      <c r="F55" s="2">
        <v>182387</v>
      </c>
      <c r="G55" s="2">
        <v>287446</v>
      </c>
      <c r="H55" s="2">
        <v>372145</v>
      </c>
      <c r="I55" s="2">
        <v>163157</v>
      </c>
      <c r="J55" s="2">
        <v>24224</v>
      </c>
      <c r="K55" s="2">
        <v>611000</v>
      </c>
      <c r="L55" s="2">
        <v>212925</v>
      </c>
      <c r="M55" s="2">
        <v>16327</v>
      </c>
      <c r="N55" s="2">
        <v>46134</v>
      </c>
      <c r="O55" s="2">
        <v>130759</v>
      </c>
    </row>
    <row r="56" spans="1:15" x14ac:dyDescent="0.35">
      <c r="A56" t="s">
        <v>23</v>
      </c>
      <c r="B56" t="s">
        <v>16</v>
      </c>
      <c r="C56" s="3" t="s">
        <v>12</v>
      </c>
      <c r="D56">
        <v>8.58</v>
      </c>
      <c r="E56" s="2">
        <v>-0.56999999999999995</v>
      </c>
      <c r="F56" s="2">
        <v>-0.64</v>
      </c>
      <c r="G56" s="2">
        <v>-19.3</v>
      </c>
      <c r="H56" s="2">
        <v>-7.31</v>
      </c>
      <c r="I56" s="2">
        <v>-11</v>
      </c>
      <c r="J56" s="2">
        <v>0.34</v>
      </c>
      <c r="K56" s="2">
        <v>-5.08</v>
      </c>
      <c r="L56" s="2">
        <v>2.68</v>
      </c>
      <c r="M56" s="2">
        <v>-2.2999999999999998</v>
      </c>
      <c r="N56" s="2">
        <v>19.100000000000001</v>
      </c>
      <c r="O56" s="2">
        <v>0.78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Biggins</dc:creator>
  <cp:lastModifiedBy>Laura Biggins</cp:lastModifiedBy>
  <dcterms:created xsi:type="dcterms:W3CDTF">2026-03-23T10:15:22Z</dcterms:created>
  <dcterms:modified xsi:type="dcterms:W3CDTF">2026-03-23T10:25:23Z</dcterms:modified>
</cp:coreProperties>
</file>